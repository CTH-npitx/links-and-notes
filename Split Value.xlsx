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2"/>
  <workbookPr/>
  <xr:revisionPtr revIDLastSave="0" documentId="8_{0A2C920D-8E85-4E4C-8E8F-B537FF83DD83}" xr6:coauthVersionLast="47" xr6:coauthVersionMax="47" xr10:uidLastSave="{00000000-0000-0000-0000-000000000000}"/>
  <bookViews>
    <workbookView xWindow="240" yWindow="105" windowWidth="14805" windowHeight="8010" firstSheet="1" xr2:uid="{00000000-000D-0000-FFFF-FFFF00000000}"/>
  </bookViews>
  <sheets>
    <sheet name="Full Convert" sheetId="3" r:id="rId1"/>
    <sheet name="Sheet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" l="1"/>
  <c r="M2" i="3"/>
  <c r="F2" i="3"/>
  <c r="G2" i="3" s="1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D2" i="3"/>
  <c r="E2" i="3" s="1"/>
  <c r="D2" i="1"/>
  <c r="D3" i="1"/>
  <c r="D4" i="1"/>
  <c r="D5" i="1"/>
  <c r="D6" i="1"/>
  <c r="D7" i="1"/>
  <c r="D8" i="1"/>
  <c r="D9" i="1"/>
  <c r="E9" i="1"/>
  <c r="E8" i="1"/>
  <c r="E7" i="1"/>
  <c r="E2" i="1"/>
  <c r="F2" i="1" s="1"/>
  <c r="E3" i="1"/>
  <c r="E4" i="1"/>
  <c r="E5" i="1"/>
  <c r="E6" i="1"/>
  <c r="A3" i="1"/>
  <c r="B1" i="1"/>
  <c r="D3" i="3" l="1"/>
  <c r="E3" i="3" s="1"/>
  <c r="H2" i="3"/>
  <c r="F3" i="1"/>
  <c r="F4" i="1" s="1"/>
  <c r="F5" i="1" s="1"/>
  <c r="F6" i="1" s="1"/>
  <c r="F7" i="1" s="1"/>
  <c r="F8" i="1" s="1"/>
  <c r="F9" i="1" s="1"/>
  <c r="H1" i="1" s="1"/>
  <c r="D4" i="3" l="1"/>
  <c r="E4" i="3" s="1"/>
  <c r="H3" i="3"/>
  <c r="D5" i="3" l="1"/>
  <c r="E5" i="3" s="1"/>
  <c r="H4" i="3"/>
  <c r="D6" i="3" l="1"/>
  <c r="E6" i="3" s="1"/>
  <c r="H5" i="3"/>
  <c r="D7" i="3" l="1"/>
  <c r="E7" i="3" s="1"/>
  <c r="H6" i="3"/>
  <c r="D8" i="3" l="1"/>
  <c r="E8" i="3" s="1"/>
  <c r="H7" i="3"/>
  <c r="D9" i="3" l="1"/>
  <c r="H8" i="3"/>
  <c r="E9" i="3" l="1"/>
  <c r="H9" i="3" s="1"/>
  <c r="J2" i="3" s="1"/>
</calcChain>
</file>

<file path=xl/sharedStrings.xml><?xml version="1.0" encoding="utf-8"?>
<sst xmlns="http://schemas.openxmlformats.org/spreadsheetml/2006/main" count="13" uniqueCount="10">
  <si>
    <t>Input</t>
  </si>
  <si>
    <t>Location</t>
  </si>
  <si>
    <t>Component</t>
  </si>
  <si>
    <t>Place</t>
  </si>
  <si>
    <t>Exponent</t>
  </si>
  <si>
    <t>Conversion</t>
  </si>
  <si>
    <t>Result</t>
  </si>
  <si>
    <t>Offset</t>
  </si>
  <si>
    <t>Comment</t>
  </si>
  <si>
    <t>https://www.desmos.com/calculator/z7k5gospz5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</si>
</sst>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rgb="FF0F0F0F"/>
      <name val="Poppins"/>
      <family val="2"/>
      <charset val="1"/>
    </font>
    <font>
      <sz val="11"/>
      <color rgb="FF0F0F0F"/>
      <name val="Aptos Display"/>
      <scheme val="maj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NumberFormat="1"/>
  </cellXfs>
  <cellStyles count="2">
    <cellStyle name="Hyperlink" xfId="1" builtinId="8"/>
    <cellStyle name="Normal" xfId="0" builtinId="0"/>
  </cellStyles>
  <dxfs count="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0F0F"/>
        <name val="Aptos Display"/>
        <scheme val="maj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0F0F"/>
        <name val="Aptos Display"/>
        <scheme val="major"/>
      </font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6B75AB-326D-4609-915B-03BB482F0F06}" name="Table13" displayName="Table13" ref="D1:H9" totalsRowShown="0">
  <autoFilter ref="D1:H9" xr:uid="{FA36BFCF-B6F5-4736-8BFE-94E7705E08F2}"/>
  <tableColumns count="5">
    <tableColumn id="1" xr3:uid="{47E4CA81-FC22-4DE5-A326-1CF3D709A31A}" name="Location" dataDxfId="7">
      <calculatedColumnFormula>IF(ISNUMBER(D1),D1+1,1-$M$2)</calculatedColumnFormula>
    </tableColumn>
    <tableColumn id="2" xr3:uid="{F0E72E38-1E41-4E32-9854-D0EEE3DC2B9A}" name="Component" dataDxfId="6">
      <calculatedColumnFormula>VALUE(IF(D2&lt;1,0,RIGHT(LEFT(SUBSTITUTE(B$1," ",""),D2),1)))</calculatedColumnFormula>
    </tableColumn>
    <tableColumn id="3" xr3:uid="{586970F2-7623-47DD-BA3B-49E16E16D2D2}" name="Place" dataDxfId="5">
      <calculatedColumnFormula>IF(ISNUMBER(F1),F1-1,7)</calculatedColumnFormula>
    </tableColumn>
    <tableColumn id="4" xr3:uid="{26C87C61-A53A-43FC-908B-763B36DB45A3}" name="Exponent" dataDxfId="4">
      <calculatedColumnFormula>2^F2</calculatedColumnFormula>
    </tableColumn>
    <tableColumn id="5" xr3:uid="{11A0A9C1-10F7-4C49-AC70-344772AD1F83}" name="Conversion" dataDxfId="3">
      <calculatedColumnFormula>E2*G2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36BFCF-B6F5-4736-8BFE-94E7705E08F2}" name="Table1" displayName="Table1" ref="D1:F9" totalsRowShown="0">
  <autoFilter ref="D1:F9" xr:uid="{FA36BFCF-B6F5-4736-8BFE-94E7705E08F2}"/>
  <tableColumns count="3">
    <tableColumn id="1" xr3:uid="{03E93881-A37E-4529-98E1-132A5BD28D60}" name="Place" dataDxfId="2">
      <calculatedColumnFormula>IF(ISNUMBER(D1),D1+1,1-(8-LEN($A$2)))</calculatedColumnFormula>
    </tableColumn>
    <tableColumn id="2" xr3:uid="{BE02F475-F8B2-4FCF-8723-DD7AD05694AE}" name="Component" dataDxfId="1">
      <calculatedColumnFormula>IF(D2&lt;1,0,RIGHT(LEFT(SUBSTITUTE($A$2," ",""),D2),1))</calculatedColumnFormula>
    </tableColumn>
    <tableColumn id="3" xr3:uid="{6957A3A0-D44A-44BA-A8D1-06573FA1D1B5}" name="Comment" dataDxfId="0">
      <calculatedColumnFormula>IF(F1=$F$1,E2,_xlfn.CONCAT(F1,",",E2))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www.desmos.com/calculator/z7k5gospz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62C50-1BCF-4AB4-AA65-D86FE9C6BD1B}">
  <dimension ref="A1:M22"/>
  <sheetViews>
    <sheetView tabSelected="1" workbookViewId="0">
      <selection activeCell="C4" sqref="C4"/>
    </sheetView>
  </sheetViews>
  <sheetFormatPr defaultRowHeight="15"/>
  <cols>
    <col min="1" max="1" width="10.28515625" bestFit="1" customWidth="1"/>
    <col min="4" max="4" width="19.7109375" customWidth="1"/>
    <col min="5" max="5" width="13.85546875" bestFit="1" customWidth="1"/>
    <col min="6" max="6" width="13.5703125" customWidth="1"/>
  </cols>
  <sheetData>
    <row r="1" spans="1:13">
      <c r="A1" t="s">
        <v>0</v>
      </c>
      <c r="B1">
        <f>VALUE(LEFT(A2,8))</f>
        <v>1110101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M1" t="s">
        <v>7</v>
      </c>
    </row>
    <row r="2" spans="1:13" ht="19.5">
      <c r="A2" s="1">
        <v>1110101</v>
      </c>
      <c r="D2">
        <f>IF(ISNUMBER(D1),D1+1,1-$M$2)</f>
        <v>0</v>
      </c>
      <c r="E2" s="2">
        <f t="shared" ref="E2:E9" si="0">VALUE(IF(D2&lt;1,0,RIGHT(LEFT(SUBSTITUTE(B$1," ",""),D2),1)))</f>
        <v>0</v>
      </c>
      <c r="F2">
        <f t="shared" ref="F2:F9" si="1">IF(ISNUMBER(F1),F1-1,7)</f>
        <v>7</v>
      </c>
      <c r="G2">
        <f t="shared" ref="G2:G9" si="2">2^F2</f>
        <v>128</v>
      </c>
      <c r="H2" s="4">
        <f t="shared" ref="H2:H9" si="3">E2*G2</f>
        <v>0</v>
      </c>
      <c r="J2">
        <f>SUM(Table13[Conversion])</f>
        <v>117</v>
      </c>
      <c r="M2">
        <f>8-LEN(B1)</f>
        <v>1</v>
      </c>
    </row>
    <row r="3" spans="1:13">
      <c r="D3">
        <f>IF(ISNUMBER(D2),D2+1,1-$M$2)</f>
        <v>1</v>
      </c>
      <c r="E3" s="2">
        <f t="shared" si="0"/>
        <v>1</v>
      </c>
      <c r="F3">
        <f t="shared" si="1"/>
        <v>6</v>
      </c>
      <c r="G3">
        <f t="shared" si="2"/>
        <v>64</v>
      </c>
      <c r="H3" s="4">
        <f t="shared" si="3"/>
        <v>64</v>
      </c>
    </row>
    <row r="4" spans="1:13">
      <c r="D4">
        <f>IF(ISNUMBER(D3),D3+1,1-$M$2)</f>
        <v>2</v>
      </c>
      <c r="E4" s="2">
        <f t="shared" si="0"/>
        <v>1</v>
      </c>
      <c r="F4">
        <f t="shared" si="1"/>
        <v>5</v>
      </c>
      <c r="G4">
        <f t="shared" si="2"/>
        <v>32</v>
      </c>
      <c r="H4" s="4">
        <f t="shared" si="3"/>
        <v>32</v>
      </c>
    </row>
    <row r="5" spans="1:13">
      <c r="D5">
        <f>IF(ISNUMBER(D4),D4+1,1-$M$2)</f>
        <v>3</v>
      </c>
      <c r="E5" s="2">
        <f t="shared" si="0"/>
        <v>1</v>
      </c>
      <c r="F5">
        <f t="shared" si="1"/>
        <v>4</v>
      </c>
      <c r="G5">
        <f t="shared" si="2"/>
        <v>16</v>
      </c>
      <c r="H5" s="4">
        <f t="shared" si="3"/>
        <v>16</v>
      </c>
    </row>
    <row r="6" spans="1:13" ht="19.5">
      <c r="A6" s="1"/>
      <c r="D6">
        <f>IF(ISNUMBER(D5),D5+1,1-$M$2)</f>
        <v>4</v>
      </c>
      <c r="E6" s="2">
        <f t="shared" si="0"/>
        <v>0</v>
      </c>
      <c r="F6">
        <f t="shared" si="1"/>
        <v>3</v>
      </c>
      <c r="G6">
        <f t="shared" si="2"/>
        <v>8</v>
      </c>
      <c r="H6" s="4">
        <f t="shared" si="3"/>
        <v>0</v>
      </c>
    </row>
    <row r="7" spans="1:13">
      <c r="D7">
        <f>IF(ISNUMBER(D6),D6+1,1-$M$2)</f>
        <v>5</v>
      </c>
      <c r="E7" s="2">
        <f t="shared" si="0"/>
        <v>1</v>
      </c>
      <c r="F7">
        <f t="shared" si="1"/>
        <v>2</v>
      </c>
      <c r="G7">
        <f t="shared" si="2"/>
        <v>4</v>
      </c>
      <c r="H7" s="4">
        <f t="shared" si="3"/>
        <v>4</v>
      </c>
    </row>
    <row r="8" spans="1:13">
      <c r="D8">
        <f>IF(ISNUMBER(D7),D7+1,1-$M$2)</f>
        <v>6</v>
      </c>
      <c r="E8" s="2">
        <f t="shared" si="0"/>
        <v>0</v>
      </c>
      <c r="F8">
        <f t="shared" si="1"/>
        <v>1</v>
      </c>
      <c r="G8">
        <f t="shared" si="2"/>
        <v>2</v>
      </c>
      <c r="H8" s="4">
        <f t="shared" si="3"/>
        <v>0</v>
      </c>
    </row>
    <row r="9" spans="1:13">
      <c r="D9">
        <f>IF(ISNUMBER(D8),D8+1,1-$M$2)</f>
        <v>7</v>
      </c>
      <c r="E9" s="2">
        <f t="shared" si="0"/>
        <v>1</v>
      </c>
      <c r="F9">
        <f t="shared" si="1"/>
        <v>0</v>
      </c>
      <c r="G9">
        <f t="shared" si="2"/>
        <v>1</v>
      </c>
      <c r="H9" s="4">
        <f t="shared" si="3"/>
        <v>1</v>
      </c>
    </row>
    <row r="10" spans="1:13">
      <c r="A10" s="3"/>
    </row>
    <row r="22" spans="1:1" ht="19.5">
      <c r="A2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activeCell="H1" sqref="H1"/>
    </sheetView>
  </sheetViews>
  <sheetFormatPr defaultRowHeight="15"/>
  <cols>
    <col min="1" max="1" width="10.28515625" bestFit="1" customWidth="1"/>
    <col min="4" max="4" width="19.7109375" customWidth="1"/>
    <col min="5" max="5" width="13.85546875" bestFit="1" customWidth="1"/>
    <col min="6" max="6" width="13.5703125" customWidth="1"/>
  </cols>
  <sheetData>
    <row r="1" spans="1:8">
      <c r="A1" t="s">
        <v>0</v>
      </c>
      <c r="B1" t="str">
        <f>LEFT(E2,1)</f>
        <v>0</v>
      </c>
      <c r="D1" t="s">
        <v>3</v>
      </c>
      <c r="E1" t="s">
        <v>2</v>
      </c>
      <c r="F1" t="s">
        <v>8</v>
      </c>
      <c r="H1" t="str">
        <f>_xlfn.CONCAT("b_v=[",TEXT(F9,""),"]")</f>
        <v>b_v=[0,0,1,0,0,0,0,0]</v>
      </c>
    </row>
    <row r="2" spans="1:8" ht="19.5">
      <c r="A2" s="1">
        <v>100000</v>
      </c>
      <c r="D2">
        <f t="shared" ref="D2:D9" si="0">IF(ISNUMBER(D1),D1+1,1-(8-LEN($A$2)))</f>
        <v>-1</v>
      </c>
      <c r="E2" s="2">
        <f t="shared" ref="E2:E6" si="1">IF(D2&lt;1,0,RIGHT(LEFT(SUBSTITUTE($A$2," ",""),D2),1))</f>
        <v>0</v>
      </c>
      <c r="F2">
        <f t="shared" ref="F2:F9" si="2">IF(F1=$F$1,E2,_xlfn.CONCAT(F1,",",E2))</f>
        <v>0</v>
      </c>
    </row>
    <row r="3" spans="1:8">
      <c r="A3">
        <f>LEN(A2)</f>
        <v>6</v>
      </c>
      <c r="D3">
        <f t="shared" si="0"/>
        <v>0</v>
      </c>
      <c r="E3" s="2">
        <f t="shared" si="1"/>
        <v>0</v>
      </c>
      <c r="F3" t="str">
        <f t="shared" si="2"/>
        <v>0,0</v>
      </c>
    </row>
    <row r="4" spans="1:8">
      <c r="D4">
        <f t="shared" si="0"/>
        <v>1</v>
      </c>
      <c r="E4" s="2" t="str">
        <f t="shared" si="1"/>
        <v>1</v>
      </c>
      <c r="F4" t="str">
        <f t="shared" si="2"/>
        <v>0,0,1</v>
      </c>
    </row>
    <row r="5" spans="1:8">
      <c r="D5">
        <f t="shared" si="0"/>
        <v>2</v>
      </c>
      <c r="E5" s="2" t="str">
        <f t="shared" si="1"/>
        <v>0</v>
      </c>
      <c r="F5" t="str">
        <f t="shared" si="2"/>
        <v>0,0,1,0</v>
      </c>
    </row>
    <row r="6" spans="1:8">
      <c r="D6">
        <f t="shared" si="0"/>
        <v>3</v>
      </c>
      <c r="E6" s="2" t="str">
        <f t="shared" si="1"/>
        <v>0</v>
      </c>
      <c r="F6" t="str">
        <f t="shared" si="2"/>
        <v>0,0,1,0,0</v>
      </c>
    </row>
    <row r="7" spans="1:8">
      <c r="D7">
        <f t="shared" si="0"/>
        <v>4</v>
      </c>
      <c r="E7" s="2" t="str">
        <f>IF(D7&lt;1,0,RIGHT(LEFT(SUBSTITUTE($A$2," ",""),D7),1))</f>
        <v>0</v>
      </c>
      <c r="F7" t="str">
        <f t="shared" si="2"/>
        <v>0,0,1,0,0,0</v>
      </c>
    </row>
    <row r="8" spans="1:8">
      <c r="D8">
        <f t="shared" si="0"/>
        <v>5</v>
      </c>
      <c r="E8" s="2" t="str">
        <f>IF(D8&lt;1,0,RIGHT(LEFT(SUBSTITUTE($A$2," ",""),D8),1))</f>
        <v>0</v>
      </c>
      <c r="F8" t="str">
        <f t="shared" si="2"/>
        <v>0,0,1,0,0,0,0</v>
      </c>
    </row>
    <row r="9" spans="1:8">
      <c r="D9">
        <f t="shared" si="0"/>
        <v>6</v>
      </c>
      <c r="E9" s="2" t="str">
        <f>IF(D9&lt;1,0,RIGHT(LEFT(SUBSTITUTE($A$2," ",""),D9),1))</f>
        <v>0</v>
      </c>
      <c r="F9" t="str">
        <f t="shared" si="2"/>
        <v>0,0,1,0,0,0,0,0</v>
      </c>
    </row>
    <row r="10" spans="1:8">
      <c r="A10" s="3" t="s">
        <v>9</v>
      </c>
    </row>
  </sheetData>
  <hyperlinks>
    <hyperlink ref="A10" r:id="rId1" xr:uid="{31107D23-07D9-44E4-83C4-C217C4B4000E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2025-07-23T16:31:27Z</dcterms:created>
  <dcterms:modified xsi:type="dcterms:W3CDTF">2025-07-28T17:41:25Z</dcterms:modified>
  <cp:category/>
  <cp:contentStatus/>
</cp:coreProperties>
</file>