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4CB076F7-5945-4FA6-AC71-B727B8F84E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E9" i="1"/>
  <c r="E8" i="1"/>
  <c r="E7" i="1"/>
  <c r="E2" i="1"/>
  <c r="F2" i="1" s="1"/>
  <c r="E3" i="1"/>
  <c r="E4" i="1"/>
  <c r="E5" i="1"/>
  <c r="E6" i="1"/>
  <c r="A3" i="1"/>
  <c r="H7" i="2"/>
  <c r="G7" i="2"/>
  <c r="F7" i="2"/>
  <c r="B1" i="1"/>
  <c r="F3" i="1" l="1"/>
  <c r="F4" i="1" s="1"/>
  <c r="F5" i="1" s="1"/>
  <c r="F6" i="1" s="1"/>
  <c r="F7" i="1" s="1"/>
  <c r="F8" i="1" s="1"/>
  <c r="F9" i="1" s="1"/>
  <c r="H1" i="1" s="1"/>
</calcChain>
</file>

<file path=xl/sharedStrings.xml><?xml version="1.0" encoding="utf-8"?>
<sst xmlns="http://schemas.openxmlformats.org/spreadsheetml/2006/main" count="5" uniqueCount="5">
  <si>
    <t>Input</t>
  </si>
  <si>
    <t>Place</t>
  </si>
  <si>
    <t>Component</t>
  </si>
  <si>
    <t>Comment</t>
  </si>
  <si>
    <t>https://www.desmos.com/calculator/z7k5gospz5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</si>
</sst>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F0F0F"/>
      <name val="Poppins"/>
      <family val="2"/>
      <charset val="1"/>
    </font>
    <font>
      <sz val="11"/>
      <color rgb="FF0F0F0F"/>
      <name val="Aptos Display"/>
      <scheme val="maj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ont="1" applyFill="1" applyBorder="1"/>
    <xf numFmtId="0" fontId="2" fillId="2" borderId="2" xfId="0" applyFont="1" applyFill="1" applyBorder="1"/>
    <xf numFmtId="0" fontId="0" fillId="2" borderId="3" xfId="0" applyFont="1" applyFill="1" applyBorder="1"/>
    <xf numFmtId="0" fontId="0" fillId="0" borderId="0" xfId="0" applyNumberFormat="1"/>
    <xf numFmtId="0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0F0F"/>
        <name val="Aptos Display"/>
        <scheme val="major"/>
      </font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6BFCF-B6F5-4736-8BFE-94E7705E08F2}" name="Table1" displayName="Table1" ref="D1:F9" totalsRowShown="0">
  <autoFilter ref="D1:F9" xr:uid="{FA36BFCF-B6F5-4736-8BFE-94E7705E08F2}"/>
  <tableColumns count="3">
    <tableColumn id="1" xr3:uid="{03E93881-A37E-4529-98E1-132A5BD28D60}" name="Place" dataDxfId="2">
      <calculatedColumnFormula>IF(ISNUMBER(D1),D1+1,1-(8-LEN($A$2)))</calculatedColumnFormula>
    </tableColumn>
    <tableColumn id="2" xr3:uid="{BE02F475-F8B2-4FCF-8723-DD7AD05694AE}" name="Component" dataDxfId="1">
      <calculatedColumnFormula>IF(D2&lt;1,0,RIGHT(LEFT(SUBSTITUTE($A$2," ",""),D2),1))</calculatedColumnFormula>
    </tableColumn>
    <tableColumn id="3" xr3:uid="{6957A3A0-D44A-44BA-A8D1-06573FA1D1B5}" name="Comment" dataDxfId="0">
      <calculatedColumnFormula>IF(F1=$F$1,E2,_xlfn.CONCAT(F1,",",E2))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esmos.com/calculator/z7k5gospz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11" sqref="A11"/>
    </sheetView>
  </sheetViews>
  <sheetFormatPr defaultRowHeight="15"/>
  <cols>
    <col min="1" max="1" width="10.28515625" bestFit="1" customWidth="1"/>
    <col min="4" max="4" width="19.7109375" customWidth="1"/>
    <col min="5" max="5" width="13.85546875" bestFit="1" customWidth="1"/>
    <col min="6" max="6" width="13.5703125" customWidth="1"/>
  </cols>
  <sheetData>
    <row r="1" spans="1:8">
      <c r="A1" t="s">
        <v>0</v>
      </c>
      <c r="B1" t="str">
        <f>LEFT(E2,1)</f>
        <v>0</v>
      </c>
      <c r="D1" t="s">
        <v>1</v>
      </c>
      <c r="E1" t="s">
        <v>2</v>
      </c>
      <c r="F1" t="s">
        <v>3</v>
      </c>
      <c r="H1" t="str">
        <f>_xlfn.CONCAT("b_v=[",TEXT(F9,""),"]")</f>
        <v>b_v=[0,0,0,0,1,0,1,1]</v>
      </c>
    </row>
    <row r="2" spans="1:8" ht="19.5">
      <c r="A2" s="1">
        <v>1011</v>
      </c>
      <c r="D2">
        <f t="shared" ref="D2:D9" si="0">IF(ISNUMBER(D1),D1+1,1-(8-LEN($A$2)))</f>
        <v>-3</v>
      </c>
      <c r="E2" s="2">
        <f t="shared" ref="E2:E6" si="1">IF(D2&lt;1,0,RIGHT(LEFT(SUBSTITUTE($A$2," ",""),D2),1))</f>
        <v>0</v>
      </c>
      <c r="F2">
        <f t="shared" ref="F2:F9" si="2">IF(F1=$F$1,E2,_xlfn.CONCAT(F1,",",E2))</f>
        <v>0</v>
      </c>
    </row>
    <row r="3" spans="1:8">
      <c r="A3">
        <f>LEN(A2)</f>
        <v>4</v>
      </c>
      <c r="D3">
        <f t="shared" si="0"/>
        <v>-2</v>
      </c>
      <c r="E3" s="2">
        <f t="shared" si="1"/>
        <v>0</v>
      </c>
      <c r="F3" t="str">
        <f t="shared" si="2"/>
        <v>0,0</v>
      </c>
    </row>
    <row r="4" spans="1:8">
      <c r="D4">
        <f t="shared" si="0"/>
        <v>-1</v>
      </c>
      <c r="E4" s="2">
        <f t="shared" si="1"/>
        <v>0</v>
      </c>
      <c r="F4" t="str">
        <f t="shared" si="2"/>
        <v>0,0,0</v>
      </c>
    </row>
    <row r="5" spans="1:8">
      <c r="D5">
        <f t="shared" si="0"/>
        <v>0</v>
      </c>
      <c r="E5" s="2">
        <f t="shared" si="1"/>
        <v>0</v>
      </c>
      <c r="F5" t="str">
        <f t="shared" si="2"/>
        <v>0,0,0,0</v>
      </c>
    </row>
    <row r="6" spans="1:8">
      <c r="D6">
        <f t="shared" si="0"/>
        <v>1</v>
      </c>
      <c r="E6" s="2" t="str">
        <f t="shared" si="1"/>
        <v>1</v>
      </c>
      <c r="F6" t="str">
        <f t="shared" si="2"/>
        <v>0,0,0,0,1</v>
      </c>
    </row>
    <row r="7" spans="1:8">
      <c r="D7" s="6">
        <f t="shared" si="0"/>
        <v>2</v>
      </c>
      <c r="E7" s="7" t="str">
        <f>IF(D7&lt;1,0,RIGHT(LEFT(SUBSTITUTE($A$2," ",""),D7),1))</f>
        <v>0</v>
      </c>
      <c r="F7" t="str">
        <f t="shared" si="2"/>
        <v>0,0,0,0,1,0</v>
      </c>
    </row>
    <row r="8" spans="1:8">
      <c r="D8" s="6">
        <f t="shared" si="0"/>
        <v>3</v>
      </c>
      <c r="E8" s="7" t="str">
        <f>IF(D8&lt;1,0,RIGHT(LEFT(SUBSTITUTE($A$2," ",""),D8),1))</f>
        <v>1</v>
      </c>
      <c r="F8" t="str">
        <f t="shared" si="2"/>
        <v>0,0,0,0,1,0,1</v>
      </c>
    </row>
    <row r="9" spans="1:8">
      <c r="D9" s="6">
        <f t="shared" si="0"/>
        <v>4</v>
      </c>
      <c r="E9" s="7" t="str">
        <f>IF(D9&lt;1,0,RIGHT(LEFT(SUBSTITUTE($A$2," ",""),D9),1))</f>
        <v>1</v>
      </c>
      <c r="F9" t="str">
        <f t="shared" si="2"/>
        <v>0,0,0,0,1,0,1,1</v>
      </c>
    </row>
    <row r="10" spans="1:8">
      <c r="A10" s="8" t="s">
        <v>4</v>
      </c>
    </row>
  </sheetData>
  <hyperlinks>
    <hyperlink ref="A10" r:id="rId1" xr:uid="{31107D23-07D9-44E4-83C4-C217C4B4000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7FC2-F825-420A-9347-6521FC36DE26}">
  <dimension ref="F7:H7"/>
  <sheetViews>
    <sheetView workbookViewId="0">
      <selection activeCell="H7" sqref="H7"/>
    </sheetView>
  </sheetViews>
  <sheetFormatPr defaultRowHeight="15"/>
  <sheetData>
    <row r="7" spans="6:8">
      <c r="F7" s="3">
        <f>1-(8-LEN($A$2))</f>
        <v>-7</v>
      </c>
      <c r="G7" s="4">
        <f>IF(F7&lt;1,0,RIGHT(LEFT(SUBSTITUTE($A$2," ",""),F7),1))</f>
        <v>0</v>
      </c>
      <c r="H7" s="5">
        <f>IF(H6=$F$1,G7,_xlfn.CONCAT(H6,",",G7))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2025-07-23T16:31:27Z</dcterms:created>
  <dcterms:modified xsi:type="dcterms:W3CDTF">2025-07-23T17:35:14Z</dcterms:modified>
  <cp:category/>
  <cp:contentStatus/>
</cp:coreProperties>
</file>